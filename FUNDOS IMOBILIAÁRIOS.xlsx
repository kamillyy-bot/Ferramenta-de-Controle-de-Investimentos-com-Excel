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d5f50864a76d2/Documentos/EXCEL/"/>
    </mc:Choice>
  </mc:AlternateContent>
  <xr:revisionPtr revIDLastSave="459" documentId="8_{0EAB26AA-FBD0-4376-B975-1D89266B2A8B}" xr6:coauthVersionLast="47" xr6:coauthVersionMax="47" xr10:uidLastSave="{A9ED6149-F21B-49A1-9106-05A49BC2BC27}"/>
  <bookViews>
    <workbookView xWindow="0" yWindow="1140" windowWidth="18792" windowHeight="11100" tabRatio="0" xr2:uid="{D51D0C58-9C57-432F-97EE-51EA5B0EC240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ntd_anos">Planilha1!$D$18</definedName>
    <definedName name="rendimento_carteira">Planilha1!$D$13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3" i="1"/>
  <c r="C37" i="1"/>
  <c r="C38" i="1"/>
  <c r="C39" i="1"/>
  <c r="C40" i="1"/>
  <c r="C41" i="1"/>
  <c r="C36" i="1"/>
  <c r="A20" i="2"/>
  <c r="A19" i="2"/>
  <c r="A18" i="2"/>
  <c r="A17" i="2"/>
  <c r="A16" i="2"/>
  <c r="A15" i="2"/>
  <c r="A14" i="2"/>
  <c r="A13" i="2"/>
  <c r="A12" i="2"/>
  <c r="A11" i="2"/>
  <c r="A10" i="2"/>
  <c r="A9" i="2"/>
  <c r="A4" i="2"/>
  <c r="A5" i="2"/>
  <c r="A6" i="2"/>
  <c r="A7" i="2"/>
  <c r="A8" i="2"/>
  <c r="A3" i="2"/>
  <c r="C24" i="1"/>
  <c r="D24" i="1" s="1"/>
  <c r="D20" i="1"/>
  <c r="D21" i="1" s="1"/>
  <c r="C25" i="1"/>
  <c r="D25" i="1" s="1"/>
  <c r="C26" i="1"/>
  <c r="D26" i="1" s="1"/>
  <c r="C27" i="1"/>
  <c r="D27" i="1" s="1"/>
  <c r="C28" i="1"/>
  <c r="D28" i="1" s="1"/>
  <c r="D38" i="1" l="1"/>
  <c r="D36" i="1"/>
  <c r="D41" i="1"/>
  <c r="D40" i="1"/>
  <c r="D39" i="1"/>
  <c r="D37" i="1"/>
  <c r="D42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<sst xmlns="http://schemas.openxmlformats.org/spreadsheetml/2006/main" count="69" uniqueCount="34">
  <si>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</si>
  <si>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</si>
  <si>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</si>
  <si>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Patrimônio acumulado?</t>
  </si>
  <si>
    <t>Dividendos mensal?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</si>
  <si>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</si>
  <si>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</si>
  <si>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</si>
  <si>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</si>
  <si>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</si>
  <si>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</si>
  <si>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</si>
  <si>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</si>
  <si>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</si>
  <si>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</si>
  <si>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</si>
  <si>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Perfil</t>
  </si>
  <si>
    <t>Conservador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</si>
  <si>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</si>
  <si>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</si>
  <si>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</si>
  <si>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</si>
  <si>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</si>
  <si>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</si>
  <si>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</si>
  <si>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</si>
  <si>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</si>
  <si>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</si>
  <si>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</si>
  <si>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</si>
  <si>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</si>
  <si>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</si>
  <si>
    <t>Moderado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</si>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</sst>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/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medium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7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5" fontId="6" fillId="0" borderId="18" xfId="0" applyNumberFormat="1" applyFont="1" applyBorder="1" applyAlignment="1">
      <alignment horizontal="center"/>
    </xf>
    <xf numFmtId="164" fontId="6" fillId="0" borderId="18" xfId="1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8" fontId="6" fillId="4" borderId="20" xfId="0" applyNumberFormat="1" applyFont="1" applyFill="1" applyBorder="1" applyAlignment="1">
      <alignment horizontal="center"/>
    </xf>
    <xf numFmtId="8" fontId="6" fillId="4" borderId="23" xfId="0" applyNumberFormat="1" applyFont="1" applyFill="1" applyBorder="1" applyAlignment="1">
      <alignment horizontal="center"/>
    </xf>
    <xf numFmtId="0" fontId="6" fillId="4" borderId="7" xfId="0" applyFont="1" applyFill="1" applyBorder="1"/>
    <xf numFmtId="8" fontId="6" fillId="4" borderId="5" xfId="0" applyNumberFormat="1" applyFont="1" applyFill="1" applyBorder="1"/>
    <xf numFmtId="8" fontId="6" fillId="4" borderId="8" xfId="0" applyNumberFormat="1" applyFont="1" applyFill="1" applyBorder="1"/>
    <xf numFmtId="0" fontId="6" fillId="4" borderId="9" xfId="0" applyFont="1" applyFill="1" applyBorder="1"/>
    <xf numFmtId="8" fontId="6" fillId="4" borderId="6" xfId="0" applyNumberFormat="1" applyFont="1" applyFill="1" applyBorder="1"/>
    <xf numFmtId="8" fontId="6" fillId="4" borderId="10" xfId="0" applyNumberFormat="1" applyFont="1" applyFill="1" applyBorder="1"/>
    <xf numFmtId="0" fontId="6" fillId="4" borderId="11" xfId="0" applyFont="1" applyFill="1" applyBorder="1"/>
    <xf numFmtId="8" fontId="6" fillId="4" borderId="12" xfId="0" applyNumberFormat="1" applyFont="1" applyFill="1" applyBorder="1"/>
    <xf numFmtId="8" fontId="6" fillId="4" borderId="13" xfId="0" applyNumberFormat="1" applyFont="1" applyFill="1" applyBorder="1"/>
    <xf numFmtId="0" fontId="2" fillId="2" borderId="0" xfId="3"/>
    <xf numFmtId="0" fontId="3" fillId="6" borderId="0" xfId="0" applyFont="1" applyFill="1"/>
    <xf numFmtId="9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7" borderId="0" xfId="0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6" fillId="0" borderId="20" xfId="2" applyNumberFormat="1" applyFont="1" applyBorder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6" fillId="0" borderId="17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4" borderId="19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6" fillId="4" borderId="21" xfId="0" applyFont="1" applyFill="1" applyBorder="1" applyAlignment="1">
      <alignment horizontal="left"/>
    </xf>
    <xf numFmtId="0" fontId="6" fillId="4" borderId="22" xfId="0" applyFont="1" applyFill="1" applyBorder="1" applyAlignment="1">
      <alignment horizontal="left"/>
    </xf>
    <xf numFmtId="0" fontId="2" fillId="2" borderId="0" xfId="3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indent="3"/>
    </xf>
    <xf numFmtId="0" fontId="6" fillId="0" borderId="15" xfId="0" applyFont="1" applyBorder="1" applyAlignment="1">
      <alignment horizontal="left" indent="3"/>
    </xf>
    <xf numFmtId="0" fontId="6" fillId="0" borderId="19" xfId="0" applyFont="1" applyBorder="1" applyAlignment="1">
      <alignment horizontal="left" indent="3"/>
    </xf>
    <xf numFmtId="0" fontId="6" fillId="0" borderId="16" xfId="0" applyFont="1" applyBorder="1" applyAlignment="1">
      <alignment horizontal="left" indent="3"/>
    </xf>
    <xf numFmtId="0" fontId="5" fillId="3" borderId="1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left" indent="3"/>
    </xf>
    <xf numFmtId="0" fontId="6" fillId="4" borderId="22" xfId="0" applyFont="1" applyFill="1" applyBorder="1" applyAlignment="1">
      <alignment horizontal="left" indent="3"/>
    </xf>
    <xf numFmtId="165" fontId="6" fillId="4" borderId="23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594360</xdr:colOff>
      <xdr:row>1</xdr:row>
      <xdr:rowOff>67726</xdr:rowOff>
    </xdr:from>
    <xdr:to>
      <xdr:col>3</xdr:col>
      <xdr:colOff>1051560</xdr:colOff>
      <xdr:row>8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91463D-6F37-0319-0A54-3EAD76A7E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5" t="4800" r="882" b="7838"/>
        <a:stretch>
          <a:fillRect/>
        </a:stretch>
      </xdr:blipFill>
      <xdr:spPr>
        <a:xfrm>
          <a:off x="594360" y="250606"/>
          <a:ext cx="7559040" cy="13191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67F5-02ED-4943-9280-C9828F798F17}">
  <dimension ref="A10:XFC54"/>
  <sheetViews>
    <sheetView showGridLines="0" showRowColHeaders="0" tabSelected="1" topLeftCell="A25" workbookViewId="0">
      <selection activeCell="B14" sqref="B14:D14"/>
    </sheetView>
  </sheetViews>
  <sheetFormatPr defaultColWidth="0" defaultRowHeight="14.4" x14ac:dyDescent="0.3"/>
  <cols>
    <col min="1" max="1" width="8.88671875" customWidth="1"/>
    <col min="2" max="2" width="43.44140625" customWidth="1"/>
    <col min="3" max="3" width="51.21875" customWidth="1"/>
    <col min="4" max="4" width="17.21875" bestFit="1" customWidth="1"/>
    <col min="5" max="5" width="5.109375" customWidth="1"/>
    <col min="6" max="6" width="0.5546875" customWidth="1"/>
    <col min="7" max="7" width="1.44140625" customWidth="1"/>
    <col min="8" max="8" width="9.77734375" hidden="1" customWidth="1"/>
    <col min="9" max="11" width="8.88671875" hidden="1" customWidth="1"/>
    <col min="12" max="16383" width="8.88671875" hidden="1"/>
    <col min="16384" max="16384" width="13.109375" hidden="1" customWidth="1"/>
  </cols>
  <sheetData>
    <row r="10" spans="2:4" ht="15" thickBot="1" x14ac:dyDescent="0.35"/>
    <row r="11" spans="2:4" ht="25.8" x14ac:dyDescent="0.3">
      <c r="B11" s="44" t="s">
        <v>13</v>
      </c>
      <c r="C11" s="45"/>
      <c r="D11" s="46"/>
    </row>
    <row r="12" spans="2:4" ht="17.399999999999999" x14ac:dyDescent="0.35">
      <c r="B12" s="47" t="s">
        <v>14</v>
      </c>
      <c r="C12" s="48"/>
      <c r="D12" s="5">
        <v>4200</v>
      </c>
    </row>
    <row r="13" spans="2:4" ht="17.399999999999999" x14ac:dyDescent="0.35">
      <c r="B13" s="49" t="s">
        <v>15</v>
      </c>
      <c r="C13" s="50"/>
      <c r="D13" s="31">
        <v>6.0000000000000001E-3</v>
      </c>
    </row>
    <row r="14" spans="2:4" ht="18" thickBot="1" x14ac:dyDescent="0.4">
      <c r="B14" s="53" t="s">
        <v>33</v>
      </c>
      <c r="C14" s="54"/>
      <c r="D14" s="55">
        <f>0.3*$D$12</f>
        <v>1260</v>
      </c>
    </row>
    <row r="15" spans="2:4" ht="15" thickBot="1" x14ac:dyDescent="0.35"/>
    <row r="16" spans="2:4" ht="30.6" customHeight="1" x14ac:dyDescent="0.3">
      <c r="B16" s="43" t="s">
        <v>5</v>
      </c>
      <c r="C16" s="51"/>
      <c r="D16" s="52"/>
    </row>
    <row r="17" spans="1:4" ht="17.399999999999999" x14ac:dyDescent="0.35">
      <c r="B17" s="33" t="s">
        <v>0</v>
      </c>
      <c r="C17" s="34"/>
      <c r="D17" s="6">
        <v>200</v>
      </c>
    </row>
    <row r="18" spans="1:4" ht="17.399999999999999" x14ac:dyDescent="0.35">
      <c r="B18" s="35" t="s">
        <v>1</v>
      </c>
      <c r="C18" s="36"/>
      <c r="D18" s="7">
        <v>5</v>
      </c>
    </row>
    <row r="19" spans="1:4" ht="17.399999999999999" x14ac:dyDescent="0.35">
      <c r="B19" s="35" t="s">
        <v>2</v>
      </c>
      <c r="C19" s="36"/>
      <c r="D19" s="8">
        <v>1.0789999999999999E-2</v>
      </c>
    </row>
    <row r="20" spans="1:4" ht="17.399999999999999" x14ac:dyDescent="0.35">
      <c r="B20" s="37" t="s">
        <v>3</v>
      </c>
      <c r="C20" s="38"/>
      <c r="D20" s="9">
        <f>FV(taxa_mensal,qntd_anos*12,aporte*(-1))</f>
        <v>16755.382799697527</v>
      </c>
    </row>
    <row r="21" spans="1:4" ht="18" thickBot="1" x14ac:dyDescent="0.4">
      <c r="B21" s="39" t="s">
        <v>4</v>
      </c>
      <c r="C21" s="40"/>
      <c r="D21" s="10">
        <f>patrimonio*rendimento_carteira</f>
        <v>100.53229679818516</v>
      </c>
    </row>
    <row r="22" spans="1:4" ht="15" thickBot="1" x14ac:dyDescent="0.35"/>
    <row r="23" spans="1:4" ht="25.8" x14ac:dyDescent="0.3">
      <c r="B23" s="42" t="s">
        <v>11</v>
      </c>
      <c r="C23" s="43"/>
      <c r="D23" s="2" t="s">
        <v>12</v>
      </c>
    </row>
    <row r="24" spans="1:4" ht="17.399999999999999" x14ac:dyDescent="0.35">
      <c r="A24" s="1">
        <v>2</v>
      </c>
      <c r="B24" s="11" t="s">
        <v>6</v>
      </c>
      <c r="C24" s="12">
        <f>FV($D$19,$A24*12,$D$17*(-1))</f>
        <v>5445.5254595290435</v>
      </c>
      <c r="D24" s="13">
        <f>C24*rendimento_carteira</f>
        <v>32.673152757174265</v>
      </c>
    </row>
    <row r="25" spans="1:4" ht="17.399999999999999" x14ac:dyDescent="0.35">
      <c r="A25" s="1">
        <v>5</v>
      </c>
      <c r="B25" s="14" t="s">
        <v>7</v>
      </c>
      <c r="C25" s="15">
        <f>FV($D$19,$A25*12,$D$17*(-1))</f>
        <v>16755.382799697527</v>
      </c>
      <c r="D25" s="16">
        <f>C25*rendimento_carteira</f>
        <v>100.53229679818516</v>
      </c>
    </row>
    <row r="26" spans="1:4" ht="17.399999999999999" x14ac:dyDescent="0.35">
      <c r="A26" s="1">
        <v>10</v>
      </c>
      <c r="B26" s="14" t="s">
        <v>8</v>
      </c>
      <c r="C26" s="15">
        <f>FV($D$19,$A26*12,$D$17*(-1))</f>
        <v>48656.842506034438</v>
      </c>
      <c r="D26" s="16">
        <f>C26*rendimento_carteira</f>
        <v>291.94105503620665</v>
      </c>
    </row>
    <row r="27" spans="1:4" ht="17.399999999999999" x14ac:dyDescent="0.35">
      <c r="A27" s="1">
        <v>20</v>
      </c>
      <c r="B27" s="14" t="s">
        <v>9</v>
      </c>
      <c r="C27" s="15">
        <f>FV($D$19,$A27*12,$D$17*(-1))</f>
        <v>225039.68001941612</v>
      </c>
      <c r="D27" s="16">
        <f>C27*rendimento_carteira</f>
        <v>1350.2380801164968</v>
      </c>
    </row>
    <row r="28" spans="1:4" ht="18" thickBot="1" x14ac:dyDescent="0.4">
      <c r="A28" s="1">
        <v>30</v>
      </c>
      <c r="B28" s="17" t="s">
        <v>10</v>
      </c>
      <c r="C28" s="18">
        <f>FV($D$19,$A28*12,$D$17*(-1))</f>
        <v>864433.93100094295</v>
      </c>
      <c r="D28" s="19">
        <f>C28*rendimento_carteira</f>
        <v>5186.6035860056581</v>
      </c>
    </row>
    <row r="29" spans="1:4" x14ac:dyDescent="0.3">
      <c r="A29" s="1"/>
    </row>
    <row r="32" spans="1:4" x14ac:dyDescent="0.3">
      <c r="B32" s="20" t="s">
        <v>16</v>
      </c>
      <c r="C32" s="41" t="s">
        <v>32</v>
      </c>
      <c r="D32" s="41"/>
    </row>
    <row r="33" spans="2:4" x14ac:dyDescent="0.3">
      <c r="B33" s="21" t="s">
        <v>19</v>
      </c>
      <c r="C33" s="32">
        <f>aporte</f>
        <v>200</v>
      </c>
      <c r="D33" s="32"/>
    </row>
    <row r="35" spans="2:4" x14ac:dyDescent="0.3">
      <c r="B35" s="24" t="s">
        <v>20</v>
      </c>
      <c r="C35" s="24" t="s">
        <v>21</v>
      </c>
      <c r="D35" s="24" t="s">
        <v>22</v>
      </c>
    </row>
    <row r="36" spans="2:4" x14ac:dyDescent="0.3">
      <c r="B36" s="3" t="s">
        <v>23</v>
      </c>
      <c r="C36" s="4">
        <f>VLOOKUP($C$32&amp;"-"&amp;B36,Planilha2!A:D,4,FALSE)</f>
        <v>0.32</v>
      </c>
      <c r="D36" s="23">
        <f>C36*$C$33</f>
        <v>64</v>
      </c>
    </row>
    <row r="37" spans="2:4" x14ac:dyDescent="0.3">
      <c r="B37" s="3" t="s">
        <v>24</v>
      </c>
      <c r="C37" s="4">
        <f>VLOOKUP($C$32&amp;"-"&amp;B37,Planilha2!A:D,4,FALSE)</f>
        <v>0.4</v>
      </c>
      <c r="D37" s="23">
        <f t="shared" ref="D37:D41" si="0">C37*$C$33</f>
        <v>80</v>
      </c>
    </row>
    <row r="38" spans="2:4" x14ac:dyDescent="0.3">
      <c r="B38" s="3" t="s">
        <v>25</v>
      </c>
      <c r="C38" s="4">
        <f>VLOOKUP($C$32&amp;"-"&amp;B38,Planilha2!A:D,4,FALSE)</f>
        <v>0.08</v>
      </c>
      <c r="D38" s="23">
        <f t="shared" si="0"/>
        <v>16</v>
      </c>
    </row>
    <row r="39" spans="2:4" x14ac:dyDescent="0.3">
      <c r="B39" s="3" t="s">
        <v>26</v>
      </c>
      <c r="C39" s="4">
        <f>VLOOKUP($C$32&amp;"-"&amp;B39,Planilha2!A:D,4,FALSE)</f>
        <v>0.1</v>
      </c>
      <c r="D39" s="23">
        <f t="shared" si="0"/>
        <v>20</v>
      </c>
    </row>
    <row r="40" spans="2:4" x14ac:dyDescent="0.3">
      <c r="B40" s="3" t="s">
        <v>27</v>
      </c>
      <c r="C40" s="4">
        <f>VLOOKUP($C$32&amp;"-"&amp;B40,Planilha2!A:D,4,FALSE)</f>
        <v>0.1</v>
      </c>
      <c r="D40" s="23">
        <f t="shared" si="0"/>
        <v>20</v>
      </c>
    </row>
    <row r="41" spans="2:4" x14ac:dyDescent="0.3">
      <c r="B41" s="3" t="s">
        <v>28</v>
      </c>
      <c r="C41" s="4">
        <f>VLOOKUP($C$32&amp;"-"&amp;B41,Planilha2!A:D,4,FALSE)</f>
        <v>0</v>
      </c>
      <c r="D41" s="23">
        <f t="shared" si="0"/>
        <v>0</v>
      </c>
    </row>
    <row r="42" spans="2:4" x14ac:dyDescent="0.3">
      <c r="B42" s="24"/>
      <c r="C42" s="24"/>
      <c r="D42" s="25">
        <f>SUM(D36:D41)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mergeCells count="13">
    <mergeCell ref="B11:D11"/>
    <mergeCell ref="B12:C12"/>
    <mergeCell ref="B13:C13"/>
    <mergeCell ref="B14:C14"/>
    <mergeCell ref="B16:D16"/>
    <mergeCell ref="C33:D33"/>
    <mergeCell ref="B17:C17"/>
    <mergeCell ref="B18:C18"/>
    <mergeCell ref="B19:C19"/>
    <mergeCell ref="B20:C20"/>
    <mergeCell ref="B21:C21"/>
    <mergeCell ref="C32:D32"/>
    <mergeCell ref="B23:C23"/>
  </mergeCells>
  <dataValidations count="1">
    <dataValidation type="list" allowBlank="1" showInputMessage="1" showErrorMessage="1" sqref="C32:D32" xr:uid="{76384AC6-A1DB-4CA0-BA67-A1B47F0B9D6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4794-8431-4DC6-9CA8-6FC41546DDF1}">
  <dimension ref="A2:G20"/>
  <sheetViews>
    <sheetView workbookViewId="0">
      <selection activeCell="A10" sqref="A10"/>
    </sheetView>
  </sheetViews>
  <sheetFormatPr defaultRowHeight="14.4" x14ac:dyDescent="0.3"/>
  <cols>
    <col min="1" max="1" width="28.77734375" bestFit="1" customWidth="1"/>
    <col min="2" max="3" width="17.6640625" bestFit="1" customWidth="1"/>
  </cols>
  <sheetData>
    <row r="2" spans="1:7" x14ac:dyDescent="0.3">
      <c r="A2" t="s">
        <v>31</v>
      </c>
      <c r="B2" t="s">
        <v>29</v>
      </c>
      <c r="C2" s="3" t="s">
        <v>20</v>
      </c>
      <c r="D2" s="3" t="s">
        <v>30</v>
      </c>
    </row>
    <row r="3" spans="1:7" x14ac:dyDescent="0.3">
      <c r="A3" t="str">
        <f t="shared" ref="A3:A20" si="0">B3&amp;"-"&amp;C3</f>
        <v>Conservador-PAPEL</v>
      </c>
      <c r="B3" t="s">
        <v>17</v>
      </c>
      <c r="C3" s="3" t="s">
        <v>23</v>
      </c>
      <c r="D3" s="4">
        <v>0.3</v>
      </c>
      <c r="F3" s="20"/>
      <c r="G3" s="20"/>
    </row>
    <row r="4" spans="1:7" x14ac:dyDescent="0.3">
      <c r="A4" t="str">
        <f t="shared" si="0"/>
        <v>Conservador-TIJOLO</v>
      </c>
      <c r="B4" t="s">
        <v>17</v>
      </c>
      <c r="C4" s="3" t="s">
        <v>24</v>
      </c>
      <c r="D4" s="22">
        <v>0.5</v>
      </c>
    </row>
    <row r="5" spans="1:7" x14ac:dyDescent="0.3">
      <c r="A5" t="str">
        <f t="shared" si="0"/>
        <v>Conservador-HÍBRIDOS</v>
      </c>
      <c r="B5" t="s">
        <v>17</v>
      </c>
      <c r="C5" s="3" t="s">
        <v>25</v>
      </c>
      <c r="D5" s="22">
        <v>0.1</v>
      </c>
    </row>
    <row r="6" spans="1:7" x14ac:dyDescent="0.3">
      <c r="A6" t="str">
        <f t="shared" si="0"/>
        <v>Conservador-FOFs</v>
      </c>
      <c r="B6" t="s">
        <v>17</v>
      </c>
      <c r="C6" s="3" t="s">
        <v>26</v>
      </c>
      <c r="D6" s="22">
        <v>0.1</v>
      </c>
    </row>
    <row r="7" spans="1:7" x14ac:dyDescent="0.3">
      <c r="A7" t="str">
        <f t="shared" si="0"/>
        <v>Conservador-DESENVOLVIMENTO</v>
      </c>
      <c r="B7" t="s">
        <v>17</v>
      </c>
      <c r="C7" s="3" t="s">
        <v>27</v>
      </c>
      <c r="D7" s="22">
        <v>0</v>
      </c>
    </row>
    <row r="8" spans="1:7" ht="15" thickBot="1" x14ac:dyDescent="0.35">
      <c r="A8" s="26" t="str">
        <f t="shared" si="0"/>
        <v>Conservador-HOTELARIAS</v>
      </c>
      <c r="B8" s="26" t="s">
        <v>17</v>
      </c>
      <c r="C8" s="27" t="s">
        <v>28</v>
      </c>
      <c r="D8" s="28">
        <v>0</v>
      </c>
    </row>
    <row r="9" spans="1:7" x14ac:dyDescent="0.3">
      <c r="A9" t="str">
        <f t="shared" si="0"/>
        <v>Moderado-PAPEL</v>
      </c>
      <c r="B9" t="s">
        <v>32</v>
      </c>
      <c r="C9" s="3" t="s">
        <v>23</v>
      </c>
      <c r="D9" s="29">
        <v>0.32</v>
      </c>
    </row>
    <row r="10" spans="1:7" x14ac:dyDescent="0.3">
      <c r="A10" t="str">
        <f t="shared" si="0"/>
        <v>Moderado-TIJOLO</v>
      </c>
      <c r="B10" t="s">
        <v>32</v>
      </c>
      <c r="C10" s="3" t="s">
        <v>24</v>
      </c>
      <c r="D10" s="29">
        <v>0.4</v>
      </c>
    </row>
    <row r="11" spans="1:7" x14ac:dyDescent="0.3">
      <c r="A11" t="str">
        <f t="shared" si="0"/>
        <v>Moderado-HÍBRIDOS</v>
      </c>
      <c r="B11" t="s">
        <v>32</v>
      </c>
      <c r="C11" s="3" t="s">
        <v>25</v>
      </c>
      <c r="D11" s="4">
        <v>0.08</v>
      </c>
    </row>
    <row r="12" spans="1:7" x14ac:dyDescent="0.3">
      <c r="A12" t="str">
        <f t="shared" si="0"/>
        <v>Moderado-FOFs</v>
      </c>
      <c r="B12" t="s">
        <v>32</v>
      </c>
      <c r="C12" s="3" t="s">
        <v>26</v>
      </c>
      <c r="D12" s="4">
        <v>0.1</v>
      </c>
    </row>
    <row r="13" spans="1:7" x14ac:dyDescent="0.3">
      <c r="A13" t="str">
        <f t="shared" si="0"/>
        <v>Moderado-DESENVOLVIMENTO</v>
      </c>
      <c r="B13" t="s">
        <v>32</v>
      </c>
      <c r="C13" s="3" t="s">
        <v>27</v>
      </c>
      <c r="D13" s="4">
        <v>0.1</v>
      </c>
    </row>
    <row r="14" spans="1:7" ht="15" thickBot="1" x14ac:dyDescent="0.35">
      <c r="A14" s="26" t="str">
        <f t="shared" si="0"/>
        <v>Moderado-HOTELARIAS</v>
      </c>
      <c r="B14" s="26" t="s">
        <v>32</v>
      </c>
      <c r="C14" s="27" t="s">
        <v>28</v>
      </c>
      <c r="D14" s="30">
        <v>0</v>
      </c>
    </row>
    <row r="15" spans="1:7" x14ac:dyDescent="0.3">
      <c r="A15" t="str">
        <f t="shared" si="0"/>
        <v>Agressivo-PAPEL</v>
      </c>
      <c r="B15" t="s">
        <v>18</v>
      </c>
      <c r="C15" s="3" t="s">
        <v>23</v>
      </c>
      <c r="D15" s="22">
        <v>0.5</v>
      </c>
    </row>
    <row r="16" spans="1:7" x14ac:dyDescent="0.3">
      <c r="A16" t="str">
        <f t="shared" si="0"/>
        <v>Agressivo-TIJOLO</v>
      </c>
      <c r="B16" t="s">
        <v>18</v>
      </c>
      <c r="C16" s="3" t="s">
        <v>24</v>
      </c>
      <c r="D16" s="22">
        <v>0.1</v>
      </c>
    </row>
    <row r="17" spans="1:4" x14ac:dyDescent="0.3">
      <c r="A17" t="str">
        <f t="shared" si="0"/>
        <v>Agressivo-HÍBRIDOS</v>
      </c>
      <c r="B17" t="s">
        <v>18</v>
      </c>
      <c r="C17" s="3" t="s">
        <v>25</v>
      </c>
      <c r="D17" s="22">
        <v>0.05</v>
      </c>
    </row>
    <row r="18" spans="1:4" x14ac:dyDescent="0.3">
      <c r="A18" t="str">
        <f t="shared" si="0"/>
        <v>Agressivo-FOFs</v>
      </c>
      <c r="B18" t="s">
        <v>18</v>
      </c>
      <c r="C18" s="3" t="s">
        <v>26</v>
      </c>
      <c r="D18" s="22">
        <v>0.05</v>
      </c>
    </row>
    <row r="19" spans="1:4" x14ac:dyDescent="0.3">
      <c r="A19" t="str">
        <f t="shared" si="0"/>
        <v>Agressivo-DESENVOLVIMENTO</v>
      </c>
      <c r="B19" t="s">
        <v>18</v>
      </c>
      <c r="C19" s="3" t="s">
        <v>27</v>
      </c>
      <c r="D19" s="22">
        <v>0.2</v>
      </c>
    </row>
    <row r="20" spans="1:4" x14ac:dyDescent="0.3">
      <c r="A20" t="str">
        <f t="shared" si="0"/>
        <v>Agressivo-HOTELARIAS</v>
      </c>
      <c r="B20" t="s">
        <v>18</v>
      </c>
      <c r="C20" s="3" t="s">
        <v>28</v>
      </c>
      <c r="D20" s="2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patrimonio</vt:lpstr>
      <vt:lpstr>qntd_anos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ROMANO</dc:creator>
  <cp:lastModifiedBy>Kamilly Oliveira das Neves Silva</cp:lastModifiedBy>
  <dcterms:created xsi:type="dcterms:W3CDTF">2026-01-17T22:36:43Z</dcterms:created>
  <dcterms:modified xsi:type="dcterms:W3CDTF">2026-01-19T21:00:38Z</dcterms:modified>
</cp:coreProperties>
</file>